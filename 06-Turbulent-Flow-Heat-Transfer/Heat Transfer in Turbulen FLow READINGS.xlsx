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EYAS PURKAR\Downloads\"/>
    </mc:Choice>
  </mc:AlternateContent>
  <xr:revisionPtr revIDLastSave="0" documentId="13_ncr:1_{6B3E6778-4982-425B-9C4B-02C0D00E9D29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Raw Data" sheetId="1" r:id="rId1"/>
    <sheet name="Constants" sheetId="2" r:id="rId2"/>
    <sheet name="Calculatio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9" i="3" l="1"/>
  <c r="S8" i="3"/>
  <c r="S7" i="3"/>
  <c r="S6" i="3"/>
  <c r="S5" i="3"/>
  <c r="S4" i="3"/>
  <c r="J9" i="3"/>
  <c r="I9" i="3"/>
  <c r="K9" i="3" s="1"/>
  <c r="F9" i="3"/>
  <c r="G9" i="3" s="1"/>
  <c r="H9" i="3" s="1"/>
  <c r="L9" i="3" s="1"/>
  <c r="M9" i="3" s="1"/>
  <c r="E9" i="3"/>
  <c r="D9" i="3"/>
  <c r="C9" i="3"/>
  <c r="B9" i="3"/>
  <c r="J8" i="3"/>
  <c r="I8" i="3"/>
  <c r="K8" i="3" s="1"/>
  <c r="F8" i="3"/>
  <c r="G8" i="3" s="1"/>
  <c r="H8" i="3" s="1"/>
  <c r="L8" i="3" s="1"/>
  <c r="M8" i="3" s="1"/>
  <c r="E8" i="3"/>
  <c r="D8" i="3"/>
  <c r="C8" i="3"/>
  <c r="B8" i="3"/>
  <c r="J7" i="3"/>
  <c r="G7" i="3"/>
  <c r="H7" i="3" s="1"/>
  <c r="F7" i="3"/>
  <c r="E7" i="3"/>
  <c r="D7" i="3"/>
  <c r="C7" i="3"/>
  <c r="B7" i="3"/>
  <c r="I7" i="3" s="1"/>
  <c r="K7" i="3" s="1"/>
  <c r="N6" i="3"/>
  <c r="P6" i="3" s="1"/>
  <c r="Q6" i="3" s="1"/>
  <c r="R6" i="3" s="1"/>
  <c r="F6" i="3"/>
  <c r="G6" i="3" s="1"/>
  <c r="H6" i="3" s="1"/>
  <c r="E6" i="3"/>
  <c r="D6" i="3"/>
  <c r="C6" i="3"/>
  <c r="J6" i="3" s="1"/>
  <c r="B6" i="3"/>
  <c r="I6" i="3" s="1"/>
  <c r="K6" i="3" s="1"/>
  <c r="N5" i="3"/>
  <c r="P5" i="3" s="1"/>
  <c r="Q5" i="3" s="1"/>
  <c r="R5" i="3" s="1"/>
  <c r="F5" i="3"/>
  <c r="G5" i="3" s="1"/>
  <c r="H5" i="3" s="1"/>
  <c r="E5" i="3"/>
  <c r="D5" i="3"/>
  <c r="C5" i="3"/>
  <c r="J5" i="3" s="1"/>
  <c r="B5" i="3"/>
  <c r="I5" i="3" s="1"/>
  <c r="K5" i="3" s="1"/>
  <c r="N4" i="3"/>
  <c r="P4" i="3" s="1"/>
  <c r="Q4" i="3" s="1"/>
  <c r="R4" i="3" s="1"/>
  <c r="F4" i="3"/>
  <c r="G4" i="3" s="1"/>
  <c r="H4" i="3" s="1"/>
  <c r="E4" i="3"/>
  <c r="D4" i="3"/>
  <c r="C4" i="3"/>
  <c r="J4" i="3" s="1"/>
  <c r="B4" i="3"/>
  <c r="I4" i="3" s="1"/>
  <c r="K4" i="3" s="1"/>
  <c r="B15" i="2"/>
  <c r="N9" i="3" s="1"/>
  <c r="B14" i="2"/>
  <c r="B11" i="2"/>
  <c r="B12" i="2" s="1"/>
  <c r="B16" i="2" s="1"/>
  <c r="L4" i="3" l="1"/>
  <c r="M4" i="3" s="1"/>
  <c r="L7" i="3"/>
  <c r="M7" i="3" s="1"/>
  <c r="L5" i="3"/>
  <c r="M5" i="3" s="1"/>
  <c r="L6" i="3"/>
  <c r="M6" i="3" s="1"/>
  <c r="P9" i="3"/>
  <c r="Q9" i="3" s="1"/>
  <c r="R9" i="3" s="1"/>
  <c r="O9" i="3"/>
  <c r="O4" i="3"/>
  <c r="O5" i="3"/>
  <c r="O6" i="3"/>
  <c r="N7" i="3"/>
  <c r="N8" i="3"/>
  <c r="P8" i="3" l="1"/>
  <c r="Q8" i="3" s="1"/>
  <c r="R8" i="3" s="1"/>
  <c r="O8" i="3"/>
  <c r="P7" i="3"/>
  <c r="Q7" i="3" s="1"/>
  <c r="R7" i="3" s="1"/>
  <c r="O7" i="3"/>
  <c r="T9" i="3" l="1"/>
  <c r="T8" i="3"/>
  <c r="T5" i="3"/>
  <c r="T4" i="3"/>
  <c r="T6" i="3"/>
  <c r="T7" i="3"/>
</calcChain>
</file>

<file path=xl/sharedStrings.xml><?xml version="1.0" encoding="utf-8"?>
<sst xmlns="http://schemas.openxmlformats.org/spreadsheetml/2006/main" count="57" uniqueCount="54">
  <si>
    <t>Hi</t>
  </si>
  <si>
    <t>Ho</t>
  </si>
  <si>
    <t>Ci</t>
  </si>
  <si>
    <t>Co</t>
  </si>
  <si>
    <t>Volumetric Flow rate of hot fluid (lph)</t>
  </si>
  <si>
    <t>Vol flow rate of cold fluid (lpm)</t>
  </si>
  <si>
    <t>Constants and Exchanger Dimensions</t>
  </si>
  <si>
    <t>Length of heat exchanger, L (m)</t>
  </si>
  <si>
    <t>Given in lab manual (100 cm)</t>
  </si>
  <si>
    <t>Inside diameter of inner tube, d1 (m)</t>
  </si>
  <si>
    <t>Given in lab manual (0.7 cm)</t>
  </si>
  <si>
    <t>Outside diameter of inner tube, d2 (m)</t>
  </si>
  <si>
    <t>Given in lab manual (1.0 cm)</t>
  </si>
  <si>
    <t>Inside diameter of outer tube, D (m)</t>
  </si>
  <si>
    <t>Given in lab manual (1.8 cm)</t>
  </si>
  <si>
    <t>Specific heat capacity of water, Cp (kcal/kg-C)</t>
  </si>
  <si>
    <t>Given in lab manual</t>
  </si>
  <si>
    <t>Density of water, rho (kg/m3)</t>
  </si>
  <si>
    <t>Given in lab manual (1.00 g/cc)</t>
  </si>
  <si>
    <t>Thermal conductivity of water, K (kcal/hr-m-C)</t>
  </si>
  <si>
    <t>Viscosity of water, mu (centipoise)</t>
  </si>
  <si>
    <t>Viscosity of water, mu (kg/m-s)</t>
  </si>
  <si>
    <t>1 cP = 1e-3 kg/(m.s)</t>
  </si>
  <si>
    <t>Viscosity of water, mu (kg/m-hr)</t>
  </si>
  <si>
    <t>Converted for hr-based Pr</t>
  </si>
  <si>
    <t>Cooling water flow rate, Vc (L/min, held constant)</t>
  </si>
  <si>
    <t>As recorded (Raw Data sheet)</t>
  </si>
  <si>
    <t>Inner heat-transfer area, Ai = pi*d1*L (m2)</t>
  </si>
  <si>
    <t>Computed</t>
  </si>
  <si>
    <t>Inner cross-section area, Ac = (pi/4)*d1^2 (m2)</t>
  </si>
  <si>
    <t>Prandtl number, Pr = Cp*mu(hr)/K</t>
  </si>
  <si>
    <t>Computed (same for every run)</t>
  </si>
  <si>
    <t>Sr.
No.</t>
  </si>
  <si>
    <t>T1 Hot In
(C)</t>
  </si>
  <si>
    <t>T2 Hot Out
(C)</t>
  </si>
  <si>
    <t>t1 Cold In
(C)</t>
  </si>
  <si>
    <t>t2 Cold Out
(C)</t>
  </si>
  <si>
    <t>V hot
(L/hr)</t>
  </si>
  <si>
    <t>mdot
(kg/hr)</t>
  </si>
  <si>
    <t>Q
(kcal/hr)</t>
  </si>
  <si>
    <t>dT1
(C)</t>
  </si>
  <si>
    <t>dT2
(C)</t>
  </si>
  <si>
    <t>LMTD
(C)</t>
  </si>
  <si>
    <t>Ui
(kcal/hr.m2.C)</t>
  </si>
  <si>
    <t>1/Ui</t>
  </si>
  <si>
    <t>V
(m/s)</t>
  </si>
  <si>
    <t>1/V^0.8</t>
  </si>
  <si>
    <t>Re</t>
  </si>
  <si>
    <t>Nu</t>
  </si>
  <si>
    <t>hi,theo
(kcal/hr.m2.C)</t>
  </si>
  <si>
    <t>hi,calc
(kcal/hr.m2.C)</t>
  </si>
  <si>
    <t>% Error</t>
  </si>
  <si>
    <t>Calculations</t>
  </si>
  <si>
    <t>1/ho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</si>
</sst>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0"/>
    <numFmt numFmtId="166" formatCode="0.00000"/>
    <numFmt numFmtId="167" formatCode="0.00000E+00"/>
    <numFmt numFmtId="168" formatCode="0.0"/>
    <numFmt numFmtId="169" formatCode="0.0000E+00"/>
    <numFmt numFmtId="170" formatCode="0.0000"/>
  </numFmts>
  <fonts count="8" x14ac:knownFonts="1">
    <font>
      <sz val="10"/>
      <color rgb="FF000000"/>
      <name val="Arial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3"/>
      <name val="Calibri"/>
      <family val="2"/>
    </font>
    <font>
      <i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J13" sqref="J13"/>
    </sheetView>
  </sheetViews>
  <sheetFormatPr defaultColWidth="12.6328125" defaultRowHeight="12.5" x14ac:dyDescent="0.25"/>
  <cols>
    <col min="1" max="4" width="9" customWidth="1"/>
    <col min="5" max="5" width="16" customWidth="1"/>
    <col min="6" max="7" width="10.08984375" customWidth="1"/>
    <col min="8" max="8" width="22" customWidth="1"/>
    <col min="9" max="9" width="9" customWidth="1"/>
  </cols>
  <sheetData>
    <row r="1" spans="1:26" ht="4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0" customHeight="1" x14ac:dyDescent="0.3">
      <c r="A2" s="6">
        <v>65.400000000000006</v>
      </c>
      <c r="B2" s="6">
        <v>51.9</v>
      </c>
      <c r="C2" s="6">
        <v>30</v>
      </c>
      <c r="D2" s="6">
        <v>33.5</v>
      </c>
      <c r="E2" s="6">
        <v>120</v>
      </c>
      <c r="F2" s="3"/>
      <c r="G2" s="7"/>
      <c r="H2" s="2" t="s">
        <v>5</v>
      </c>
      <c r="I2" s="8">
        <v>420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3">
      <c r="A3" s="6">
        <v>64.5</v>
      </c>
      <c r="B3" s="6">
        <v>54.6</v>
      </c>
      <c r="C3" s="6">
        <v>30.6</v>
      </c>
      <c r="D3" s="6">
        <v>34.799999999999997</v>
      </c>
      <c r="E3" s="6">
        <v>180</v>
      </c>
      <c r="F3" s="3"/>
      <c r="G3" s="7"/>
      <c r="H3" s="7"/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3">
      <c r="A4" s="6">
        <v>65</v>
      </c>
      <c r="B4" s="6">
        <v>56.9</v>
      </c>
      <c r="C4" s="6">
        <v>31.7</v>
      </c>
      <c r="D4" s="6">
        <v>36.299999999999997</v>
      </c>
      <c r="E4" s="6">
        <v>240</v>
      </c>
      <c r="F4" s="3"/>
      <c r="G4" s="7"/>
      <c r="H4" s="7"/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3">
      <c r="A5" s="6">
        <v>65.3</v>
      </c>
      <c r="B5" s="6">
        <v>58.2</v>
      </c>
      <c r="C5" s="6">
        <v>32.200000000000003</v>
      </c>
      <c r="D5" s="6">
        <v>37.200000000000003</v>
      </c>
      <c r="E5" s="6">
        <v>300</v>
      </c>
      <c r="F5" s="3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3">
      <c r="A6" s="6">
        <v>65.2</v>
      </c>
      <c r="B6" s="6">
        <v>58.7</v>
      </c>
      <c r="C6" s="6">
        <v>32.799999999999997</v>
      </c>
      <c r="D6" s="6">
        <v>37.9</v>
      </c>
      <c r="E6" s="6">
        <v>360</v>
      </c>
      <c r="F6" s="3"/>
      <c r="G6" s="7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3">
      <c r="A7" s="6">
        <v>65.2</v>
      </c>
      <c r="B7" s="6">
        <v>59.5</v>
      </c>
      <c r="C7" s="6">
        <v>33.200000000000003</v>
      </c>
      <c r="D7" s="6">
        <v>38.5</v>
      </c>
      <c r="E7" s="6">
        <v>420</v>
      </c>
      <c r="F7" s="3"/>
      <c r="G7" s="7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3">
      <c r="A8" s="3"/>
      <c r="B8" s="3"/>
      <c r="C8" s="3"/>
      <c r="D8" s="3"/>
      <c r="E8" s="3"/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3">
      <c r="A9" s="3"/>
      <c r="B9" s="3"/>
      <c r="C9" s="3"/>
      <c r="D9" s="3"/>
      <c r="E9" s="3"/>
      <c r="F9" s="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Normal="100" workbookViewId="0">
      <selection activeCell="B16" sqref="B16"/>
    </sheetView>
  </sheetViews>
  <sheetFormatPr defaultColWidth="8.6328125" defaultRowHeight="12.5" x14ac:dyDescent="0.25"/>
  <cols>
    <col min="1" max="1" width="46" customWidth="1"/>
    <col min="2" max="2" width="14" customWidth="1"/>
    <col min="3" max="3" width="40" customWidth="1"/>
  </cols>
  <sheetData>
    <row r="1" spans="1:4" ht="15.75" customHeight="1" x14ac:dyDescent="0.25">
      <c r="A1" s="1" t="s">
        <v>6</v>
      </c>
      <c r="B1" s="1"/>
      <c r="C1" s="1"/>
      <c r="D1" s="3"/>
    </row>
    <row r="2" spans="1:4" ht="14.5" x14ac:dyDescent="0.25">
      <c r="A2" s="3"/>
      <c r="B2" s="3"/>
      <c r="C2" s="3"/>
      <c r="D2" s="3"/>
    </row>
    <row r="3" spans="1:4" ht="15" customHeight="1" x14ac:dyDescent="0.25">
      <c r="A3" s="9" t="s">
        <v>7</v>
      </c>
      <c r="B3" s="10">
        <v>1</v>
      </c>
      <c r="C3" s="11" t="s">
        <v>8</v>
      </c>
      <c r="D3" s="3"/>
    </row>
    <row r="4" spans="1:4" ht="15" customHeight="1" x14ac:dyDescent="0.25">
      <c r="A4" s="9" t="s">
        <v>9</v>
      </c>
      <c r="B4" s="12">
        <v>7.0000000000000001E-3</v>
      </c>
      <c r="C4" s="11" t="s">
        <v>10</v>
      </c>
      <c r="D4" s="3"/>
    </row>
    <row r="5" spans="1:4" ht="15" customHeight="1" x14ac:dyDescent="0.25">
      <c r="A5" s="9" t="s">
        <v>11</v>
      </c>
      <c r="B5" s="12">
        <v>0.01</v>
      </c>
      <c r="C5" s="11" t="s">
        <v>12</v>
      </c>
      <c r="D5" s="3"/>
    </row>
    <row r="6" spans="1:4" ht="15" customHeight="1" x14ac:dyDescent="0.25">
      <c r="A6" s="9" t="s">
        <v>13</v>
      </c>
      <c r="B6" s="12">
        <v>1.7999999999999999E-2</v>
      </c>
      <c r="C6" s="11" t="s">
        <v>14</v>
      </c>
      <c r="D6" s="3"/>
    </row>
    <row r="7" spans="1:4" ht="15" customHeight="1" x14ac:dyDescent="0.25">
      <c r="A7" s="9" t="s">
        <v>15</v>
      </c>
      <c r="B7" s="10">
        <v>1</v>
      </c>
      <c r="C7" s="11" t="s">
        <v>16</v>
      </c>
      <c r="D7" s="3"/>
    </row>
    <row r="8" spans="1:4" ht="15" customHeight="1" x14ac:dyDescent="0.25">
      <c r="A8" s="9" t="s">
        <v>17</v>
      </c>
      <c r="B8" s="13">
        <v>1000</v>
      </c>
      <c r="C8" s="11" t="s">
        <v>18</v>
      </c>
      <c r="D8" s="3"/>
    </row>
    <row r="9" spans="1:4" ht="15" customHeight="1" x14ac:dyDescent="0.25">
      <c r="A9" s="9" t="s">
        <v>19</v>
      </c>
      <c r="B9" s="10">
        <v>0.5</v>
      </c>
      <c r="C9" s="11" t="s">
        <v>16</v>
      </c>
      <c r="D9" s="3"/>
    </row>
    <row r="10" spans="1:4" ht="15" customHeight="1" x14ac:dyDescent="0.25">
      <c r="A10" s="9" t="s">
        <v>20</v>
      </c>
      <c r="B10" s="14">
        <v>0.47</v>
      </c>
      <c r="C10" s="11" t="s">
        <v>16</v>
      </c>
      <c r="D10" s="3"/>
    </row>
    <row r="11" spans="1:4" ht="15" customHeight="1" x14ac:dyDescent="0.25">
      <c r="A11" s="9" t="s">
        <v>21</v>
      </c>
      <c r="B11" s="12">
        <f>B10/1000</f>
        <v>4.6999999999999999E-4</v>
      </c>
      <c r="C11" s="11" t="s">
        <v>22</v>
      </c>
      <c r="D11" s="3"/>
    </row>
    <row r="12" spans="1:4" ht="15" customHeight="1" x14ac:dyDescent="0.25">
      <c r="A12" s="9" t="s">
        <v>23</v>
      </c>
      <c r="B12" s="10">
        <f>B11*3600</f>
        <v>1.6919999999999999</v>
      </c>
      <c r="C12" s="11" t="s">
        <v>24</v>
      </c>
      <c r="D12" s="3"/>
    </row>
    <row r="13" spans="1:4" ht="15" customHeight="1" x14ac:dyDescent="0.25">
      <c r="A13" s="9" t="s">
        <v>25</v>
      </c>
      <c r="B13" s="13">
        <v>420</v>
      </c>
      <c r="C13" s="11" t="s">
        <v>26</v>
      </c>
      <c r="D13" s="3"/>
    </row>
    <row r="14" spans="1:4" ht="15" customHeight="1" x14ac:dyDescent="0.25">
      <c r="A14" s="9" t="s">
        <v>27</v>
      </c>
      <c r="B14" s="15">
        <f>PI()*B4*B3</f>
        <v>2.1991148575128551E-2</v>
      </c>
      <c r="C14" s="11" t="s">
        <v>28</v>
      </c>
      <c r="D14" s="3"/>
    </row>
    <row r="15" spans="1:4" ht="15" customHeight="1" x14ac:dyDescent="0.25">
      <c r="A15" s="9" t="s">
        <v>29</v>
      </c>
      <c r="B15" s="16">
        <f>(PI()/4)*B4^2</f>
        <v>3.8484510006474972E-5</v>
      </c>
      <c r="C15" s="11" t="s">
        <v>28</v>
      </c>
      <c r="D15" s="3"/>
    </row>
    <row r="16" spans="1:4" ht="15" customHeight="1" x14ac:dyDescent="0.25">
      <c r="A16" s="9" t="s">
        <v>30</v>
      </c>
      <c r="B16" s="10">
        <f>B7*B12/B9</f>
        <v>3.3839999999999999</v>
      </c>
      <c r="C16" s="11" t="s">
        <v>31</v>
      </c>
      <c r="D16" s="3"/>
    </row>
    <row r="17" spans="1:4" ht="14.5" x14ac:dyDescent="0.25">
      <c r="A17" s="3"/>
      <c r="B17" s="3"/>
      <c r="C17" s="3"/>
      <c r="D17" s="3"/>
    </row>
    <row r="18" spans="1:4" ht="14.5" x14ac:dyDescent="0.25">
      <c r="A18" s="3"/>
      <c r="B18" s="3"/>
      <c r="C18" s="3"/>
      <c r="D18" s="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tabSelected="1" topLeftCell="E1" zoomScaleNormal="100" workbookViewId="0">
      <selection activeCell="M4" activeCellId="1" sqref="O4:O9 M4:M9"/>
    </sheetView>
  </sheetViews>
  <sheetFormatPr defaultColWidth="8.6328125" defaultRowHeight="12.5" x14ac:dyDescent="0.25"/>
  <cols>
    <col min="1" max="1" width="5" style="22" customWidth="1"/>
    <col min="2" max="5" width="9" style="22" customWidth="1"/>
    <col min="6" max="7" width="8" style="22" customWidth="1"/>
    <col min="8" max="8" width="9" style="22" customWidth="1"/>
    <col min="9" max="11" width="8" style="22" customWidth="1"/>
    <col min="12" max="12" width="12" style="22" customWidth="1"/>
    <col min="13" max="13" width="13" style="22" customWidth="1"/>
    <col min="14" max="16" width="9" style="22" customWidth="1"/>
    <col min="17" max="17" width="8" style="22" customWidth="1"/>
    <col min="18" max="19" width="12" style="22" customWidth="1"/>
    <col min="20" max="20" width="9" style="22" customWidth="1"/>
    <col min="21" max="16384" width="8.6328125" style="22"/>
  </cols>
  <sheetData>
    <row r="1" spans="1:21" ht="15.75" customHeight="1" x14ac:dyDescent="0.25">
      <c r="A1" s="21" t="s">
        <v>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14.5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42" customHeight="1" x14ac:dyDescent="0.25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 t="s">
        <v>49</v>
      </c>
      <c r="S3" s="2" t="s">
        <v>50</v>
      </c>
      <c r="T3" s="2" t="s">
        <v>51</v>
      </c>
      <c r="U3" s="23"/>
    </row>
    <row r="4" spans="1:21" ht="15" customHeight="1" x14ac:dyDescent="0.25">
      <c r="A4" s="6">
        <v>1</v>
      </c>
      <c r="B4" s="17">
        <f>'Raw Data'!A2</f>
        <v>65.400000000000006</v>
      </c>
      <c r="C4" s="17">
        <f>'Raw Data'!B2</f>
        <v>51.9</v>
      </c>
      <c r="D4" s="17">
        <f>'Raw Data'!C2</f>
        <v>30</v>
      </c>
      <c r="E4" s="17">
        <f>'Raw Data'!D2</f>
        <v>33.5</v>
      </c>
      <c r="F4" s="13">
        <f>'Raw Data'!E2</f>
        <v>120</v>
      </c>
      <c r="G4" s="17">
        <f>F4*Constants!$B$8/1000</f>
        <v>120</v>
      </c>
      <c r="H4" s="17">
        <f>G4*Constants!$B$7*(B4-C4)</f>
        <v>1620.0000000000009</v>
      </c>
      <c r="I4" s="17">
        <f t="shared" ref="I4:I9" si="0">B4-E4</f>
        <v>31.900000000000006</v>
      </c>
      <c r="J4" s="17">
        <f t="shared" ref="J4:J9" si="1">C4-D4</f>
        <v>21.9</v>
      </c>
      <c r="K4" s="14">
        <f t="shared" ref="K4:K9" si="2">(I4-J4)/LN(I4/J4)</f>
        <v>26.587303709138254</v>
      </c>
      <c r="L4" s="14">
        <f>H4/(Constants!$B$14*K4)</f>
        <v>2770.7210568248156</v>
      </c>
      <c r="M4" s="18">
        <f t="shared" ref="M4:M9" si="3">1/L4</f>
        <v>3.6091688029612682E-4</v>
      </c>
      <c r="N4" s="19">
        <f>(F4/1000/3600)/Constants!$B$15</f>
        <v>0.86614935015997452</v>
      </c>
      <c r="O4" s="19">
        <f t="shared" ref="O4:O9" si="4">1/(N4^0.8)</f>
        <v>1.1218267017648711</v>
      </c>
      <c r="P4" s="17">
        <f>Constants!$B$8*N4*Constants!$B$4/Constants!$B$11</f>
        <v>12900.096704510261</v>
      </c>
      <c r="Q4" s="14">
        <f>0.023*(P4^0.8)*(Constants!$B$16^0.3)</f>
        <v>64.421571545288884</v>
      </c>
      <c r="R4" s="17">
        <f>Q4*Constants!$B$9/Constants!$B$4</f>
        <v>4601.5408246634915</v>
      </c>
      <c r="S4" s="17">
        <f>1/(M4-M10)</f>
        <v>5599.5154758391727</v>
      </c>
      <c r="T4" s="14">
        <f t="shared" ref="T4:T9" si="5">(S4-R4)/R4*100</f>
        <v>21.687836513949925</v>
      </c>
      <c r="U4" s="23"/>
    </row>
    <row r="5" spans="1:21" ht="15" customHeight="1" x14ac:dyDescent="0.25">
      <c r="A5" s="6">
        <v>2</v>
      </c>
      <c r="B5" s="17">
        <f>'Raw Data'!A3</f>
        <v>64.5</v>
      </c>
      <c r="C5" s="17">
        <f>'Raw Data'!B3</f>
        <v>54.6</v>
      </c>
      <c r="D5" s="17">
        <f>'Raw Data'!C3</f>
        <v>30.6</v>
      </c>
      <c r="E5" s="17">
        <f>'Raw Data'!D3</f>
        <v>34.799999999999997</v>
      </c>
      <c r="F5" s="13">
        <f>'Raw Data'!E3</f>
        <v>180</v>
      </c>
      <c r="G5" s="17">
        <f>F5*Constants!$B$8/1000</f>
        <v>180</v>
      </c>
      <c r="H5" s="17">
        <f>G5*Constants!$B$7*(B5-C5)</f>
        <v>1781.9999999999998</v>
      </c>
      <c r="I5" s="17">
        <f t="shared" si="0"/>
        <v>29.700000000000003</v>
      </c>
      <c r="J5" s="17">
        <f t="shared" si="1"/>
        <v>24</v>
      </c>
      <c r="K5" s="14">
        <f t="shared" si="2"/>
        <v>26.7488572438901</v>
      </c>
      <c r="L5" s="14">
        <f>H5/(Constants!$B$14*K5)</f>
        <v>3029.3855814242556</v>
      </c>
      <c r="M5" s="18">
        <f t="shared" si="3"/>
        <v>3.3009994044067947E-4</v>
      </c>
      <c r="N5" s="19">
        <f>(F5/1000/3600)/Constants!$B$15</f>
        <v>1.2992240252399616</v>
      </c>
      <c r="O5" s="19">
        <f t="shared" si="4"/>
        <v>0.81105959349321488</v>
      </c>
      <c r="P5" s="17">
        <f>Constants!$B$8*N5*Constants!$B$4/Constants!$B$11</f>
        <v>19350.145056765385</v>
      </c>
      <c r="Q5" s="14">
        <f>0.023*(P5^0.8)*(Constants!$B$16^0.3)</f>
        <v>89.105461187995516</v>
      </c>
      <c r="R5" s="17">
        <f>Q5*Constants!$B$9/Constants!$B$4</f>
        <v>6364.6757991425366</v>
      </c>
      <c r="S5" s="17">
        <f>1/(M5-M10)</f>
        <v>6767.2761930998977</v>
      </c>
      <c r="T5" s="14">
        <f t="shared" si="5"/>
        <v>6.3255444057590555</v>
      </c>
      <c r="U5" s="23"/>
    </row>
    <row r="6" spans="1:21" ht="15" customHeight="1" x14ac:dyDescent="0.25">
      <c r="A6" s="6">
        <v>3</v>
      </c>
      <c r="B6" s="17">
        <f>'Raw Data'!A4</f>
        <v>65</v>
      </c>
      <c r="C6" s="17">
        <f>'Raw Data'!B4</f>
        <v>56.9</v>
      </c>
      <c r="D6" s="17">
        <f>'Raw Data'!C4</f>
        <v>31.7</v>
      </c>
      <c r="E6" s="17">
        <f>'Raw Data'!D4</f>
        <v>36.299999999999997</v>
      </c>
      <c r="F6" s="13">
        <f>'Raw Data'!E4</f>
        <v>240</v>
      </c>
      <c r="G6" s="17">
        <f>F6*Constants!$B$8/1000</f>
        <v>240</v>
      </c>
      <c r="H6" s="17">
        <f>G6*Constants!$B$7*(B6-C6)</f>
        <v>1944.0000000000005</v>
      </c>
      <c r="I6" s="17">
        <f t="shared" si="0"/>
        <v>28.700000000000003</v>
      </c>
      <c r="J6" s="17">
        <f t="shared" si="1"/>
        <v>25.2</v>
      </c>
      <c r="K6" s="14">
        <f t="shared" si="2"/>
        <v>26.912078526250294</v>
      </c>
      <c r="L6" s="14">
        <f>H6/(Constants!$B$14*K6)</f>
        <v>3284.7408122379561</v>
      </c>
      <c r="M6" s="18">
        <f t="shared" si="3"/>
        <v>3.0443802332114024E-4</v>
      </c>
      <c r="N6" s="19">
        <f>(F6/1000/3600)/Constants!$B$15</f>
        <v>1.732298700319949</v>
      </c>
      <c r="O6" s="19">
        <f t="shared" si="4"/>
        <v>0.64432024345452832</v>
      </c>
      <c r="P6" s="17">
        <f>Constants!$B$8*N6*Constants!$B$4/Constants!$B$11</f>
        <v>25800.193409020521</v>
      </c>
      <c r="Q6" s="14">
        <f>0.023*(P6^0.8)*(Constants!$B$16^0.3)</f>
        <v>112.16447079434562</v>
      </c>
      <c r="R6" s="17">
        <f>Q6*Constants!$B$9/Constants!$B$4</f>
        <v>8011.7479138818298</v>
      </c>
      <c r="S6" s="17">
        <f>1/(M6-M10)</f>
        <v>8189.4700512023819</v>
      </c>
      <c r="T6" s="14">
        <f t="shared" si="5"/>
        <v>2.2182692120481686</v>
      </c>
      <c r="U6" s="23"/>
    </row>
    <row r="7" spans="1:21" ht="15" customHeight="1" x14ac:dyDescent="0.25">
      <c r="A7" s="6">
        <v>4</v>
      </c>
      <c r="B7" s="17">
        <f>'Raw Data'!A5</f>
        <v>65.3</v>
      </c>
      <c r="C7" s="17">
        <f>'Raw Data'!B5</f>
        <v>58.2</v>
      </c>
      <c r="D7" s="17">
        <f>'Raw Data'!C5</f>
        <v>32.200000000000003</v>
      </c>
      <c r="E7" s="17">
        <f>'Raw Data'!D5</f>
        <v>37.200000000000003</v>
      </c>
      <c r="F7" s="13">
        <f>'Raw Data'!E5</f>
        <v>300</v>
      </c>
      <c r="G7" s="17">
        <f>F7*Constants!$B$8/1000</f>
        <v>300</v>
      </c>
      <c r="H7" s="17">
        <f>G7*Constants!$B$7*(B7-C7)</f>
        <v>2129.9999999999982</v>
      </c>
      <c r="I7" s="17">
        <f t="shared" si="0"/>
        <v>28.099999999999994</v>
      </c>
      <c r="J7" s="17">
        <f t="shared" si="1"/>
        <v>26</v>
      </c>
      <c r="K7" s="14">
        <f t="shared" si="2"/>
        <v>27.036408584875083</v>
      </c>
      <c r="L7" s="14">
        <f>H7/(Constants!$B$14*K7)</f>
        <v>3582.4710511226581</v>
      </c>
      <c r="M7" s="18">
        <f t="shared" si="3"/>
        <v>2.7913693808820161E-4</v>
      </c>
      <c r="N7" s="19">
        <f>(F7/1000/3600)/Constants!$B$15</f>
        <v>2.1653733753999362</v>
      </c>
      <c r="O7" s="19">
        <f t="shared" si="4"/>
        <v>0.53898138487303471</v>
      </c>
      <c r="P7" s="17">
        <f>Constants!$B$8*N7*Constants!$B$4/Constants!$B$11</f>
        <v>32250.241761275647</v>
      </c>
      <c r="Q7" s="14">
        <f>0.023*(P7^0.8)*(Constants!$B$16^0.3)</f>
        <v>134.08596503974891</v>
      </c>
      <c r="R7" s="17">
        <f>Q7*Constants!$B$9/Constants!$B$4</f>
        <v>9577.5689314106367</v>
      </c>
      <c r="S7" s="17">
        <f>1/(M7-M10)</f>
        <v>10329.838126776529</v>
      </c>
      <c r="T7" s="14">
        <f t="shared" si="5"/>
        <v>7.8544900146711241</v>
      </c>
      <c r="U7" s="23"/>
    </row>
    <row r="8" spans="1:21" ht="15" customHeight="1" x14ac:dyDescent="0.25">
      <c r="A8" s="6">
        <v>5</v>
      </c>
      <c r="B8" s="17">
        <f>'Raw Data'!A6</f>
        <v>65.2</v>
      </c>
      <c r="C8" s="17">
        <f>'Raw Data'!B6</f>
        <v>58.7</v>
      </c>
      <c r="D8" s="17">
        <f>'Raw Data'!C6</f>
        <v>32.799999999999997</v>
      </c>
      <c r="E8" s="17">
        <f>'Raw Data'!D6</f>
        <v>37.9</v>
      </c>
      <c r="F8" s="13">
        <f>'Raw Data'!E6</f>
        <v>360</v>
      </c>
      <c r="G8" s="17">
        <f>F8*Constants!$B$8/1000</f>
        <v>360</v>
      </c>
      <c r="H8" s="17">
        <f>G8*Constants!$B$7*(B8-C8)</f>
        <v>2340</v>
      </c>
      <c r="I8" s="17">
        <f t="shared" si="0"/>
        <v>27.300000000000004</v>
      </c>
      <c r="J8" s="17">
        <f t="shared" si="1"/>
        <v>25.900000000000006</v>
      </c>
      <c r="K8" s="14">
        <f t="shared" si="2"/>
        <v>26.593858514759159</v>
      </c>
      <c r="L8" s="14">
        <f>H8/(Constants!$B$14*K8)</f>
        <v>4001.1661943714953</v>
      </c>
      <c r="M8" s="18">
        <f t="shared" si="3"/>
        <v>2.4992713409573343E-4</v>
      </c>
      <c r="N8" s="19">
        <f>(F8/1000/3600)/Constants!$B$15</f>
        <v>2.5984480504799232</v>
      </c>
      <c r="O8" s="19">
        <f t="shared" si="4"/>
        <v>0.46583141042510989</v>
      </c>
      <c r="P8" s="17">
        <f>Constants!$B$8*N8*Constants!$B$4/Constants!$B$11</f>
        <v>38700.290113530769</v>
      </c>
      <c r="Q8" s="14">
        <f>0.023*(P8^0.8)*(Constants!$B$16^0.3)</f>
        <v>155.14161885994102</v>
      </c>
      <c r="R8" s="17">
        <f>Q8*Constants!$B$9/Constants!$B$4</f>
        <v>11081.544204281501</v>
      </c>
      <c r="S8" s="17">
        <f>1/(M8-M10)</f>
        <v>14793.526580339412</v>
      </c>
      <c r="T8" s="14">
        <f t="shared" si="5"/>
        <v>33.496977565849875</v>
      </c>
      <c r="U8" s="23"/>
    </row>
    <row r="9" spans="1:21" ht="15" customHeight="1" x14ac:dyDescent="0.25">
      <c r="A9" s="6">
        <v>6</v>
      </c>
      <c r="B9" s="17">
        <f>'Raw Data'!A7</f>
        <v>65.2</v>
      </c>
      <c r="C9" s="17">
        <f>'Raw Data'!B7</f>
        <v>59.5</v>
      </c>
      <c r="D9" s="17">
        <f>'Raw Data'!C7</f>
        <v>33.200000000000003</v>
      </c>
      <c r="E9" s="17">
        <f>'Raw Data'!D7</f>
        <v>38.5</v>
      </c>
      <c r="F9" s="13">
        <f>'Raw Data'!E7</f>
        <v>420</v>
      </c>
      <c r="G9" s="17">
        <f>F9*Constants!$B$8/1000</f>
        <v>420</v>
      </c>
      <c r="H9" s="17">
        <f>G9*Constants!$B$7*(B9-C9)</f>
        <v>2394.0000000000014</v>
      </c>
      <c r="I9" s="17">
        <f t="shared" si="0"/>
        <v>26.700000000000003</v>
      </c>
      <c r="J9" s="17">
        <f t="shared" si="1"/>
        <v>26.299999999999997</v>
      </c>
      <c r="K9" s="14">
        <f t="shared" si="2"/>
        <v>26.499496847703433</v>
      </c>
      <c r="L9" s="14">
        <f>H9/(Constants!$B$14*K9)</f>
        <v>4108.0772854104571</v>
      </c>
      <c r="M9" s="18">
        <f t="shared" si="3"/>
        <v>2.4342287900751736E-4</v>
      </c>
      <c r="N9" s="19">
        <f>(F9/1000/3600)/Constants!$B$15</f>
        <v>3.0315227255599106</v>
      </c>
      <c r="O9" s="19">
        <f t="shared" si="4"/>
        <v>0.41178577255918897</v>
      </c>
      <c r="P9" s="17">
        <f>Constants!$B$8*N9*Constants!$B$4/Constants!$B$11</f>
        <v>45150.338465785906</v>
      </c>
      <c r="Q9" s="14">
        <f>0.023*(P9^0.8)*(Constants!$B$16^0.3)</f>
        <v>175.50348735949416</v>
      </c>
      <c r="R9" s="17">
        <f>Q9*Constants!$B$9/Constants!$B$4</f>
        <v>12535.963382821012</v>
      </c>
      <c r="S9" s="17">
        <f>1/(M9-M10)</f>
        <v>16368.519805343467</v>
      </c>
      <c r="T9" s="14">
        <f t="shared" si="5"/>
        <v>30.572492161029285</v>
      </c>
      <c r="U9" s="23"/>
    </row>
    <row r="10" spans="1:21" ht="14.5" x14ac:dyDescent="0.25">
      <c r="A10" s="23"/>
      <c r="B10" s="23"/>
      <c r="C10" s="23"/>
      <c r="D10" s="23"/>
      <c r="E10" s="23"/>
      <c r="H10" s="23"/>
      <c r="I10" s="23"/>
      <c r="J10" s="23"/>
      <c r="K10" s="23"/>
      <c r="L10" s="23" t="s">
        <v>53</v>
      </c>
      <c r="M10" s="23">
        <v>1.8233E-4</v>
      </c>
      <c r="N10" s="23"/>
      <c r="O10" s="23"/>
      <c r="P10" s="23"/>
      <c r="Q10" s="23"/>
      <c r="R10" s="23"/>
      <c r="S10" s="23"/>
      <c r="T10" s="23"/>
      <c r="U10" s="23"/>
    </row>
    <row r="11" spans="1:21" ht="15" customHeight="1" x14ac:dyDescent="0.25">
      <c r="A11" s="24"/>
      <c r="B11" s="24"/>
      <c r="C11" s="24"/>
      <c r="D11" s="24"/>
      <c r="E11" s="2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spans="1:21" ht="15" customHeight="1" x14ac:dyDescent="0.25">
      <c r="A12" s="9"/>
      <c r="B12" s="9"/>
      <c r="C12" s="9"/>
      <c r="D12" s="9"/>
      <c r="E12" s="9"/>
      <c r="F12" s="12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1" ht="15" customHeight="1" x14ac:dyDescent="0.25">
      <c r="A13" s="9"/>
      <c r="B13" s="9"/>
      <c r="C13" s="9"/>
      <c r="D13" s="9"/>
      <c r="E13" s="9"/>
      <c r="F13" s="1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1" ht="15" customHeight="1" x14ac:dyDescent="0.25">
      <c r="A14" s="9"/>
      <c r="B14" s="9"/>
      <c r="C14" s="9"/>
      <c r="D14" s="9"/>
      <c r="E14" s="9"/>
      <c r="F14" s="1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1" ht="15" customHeight="1" x14ac:dyDescent="0.25">
      <c r="A15" s="9"/>
      <c r="B15" s="9"/>
      <c r="C15" s="9"/>
      <c r="D15" s="9"/>
      <c r="E15" s="9"/>
      <c r="F15" s="17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1" ht="14.5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 ht="15" customHeight="1" x14ac:dyDescent="0.25">
      <c r="A17" s="24"/>
      <c r="B17" s="24"/>
      <c r="C17" s="24"/>
      <c r="D17" s="24"/>
      <c r="E17" s="24"/>
      <c r="F17" s="20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 ht="14.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Constants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Shreyas Purkar</cp:lastModifiedBy>
  <cp:revision>2</cp:revision>
  <dcterms:created xsi:type="dcterms:W3CDTF">2026-09-15T18:37:03Z</dcterms:created>
  <dcterms:modified xsi:type="dcterms:W3CDTF">2026-09-15T19:51:30Z</dcterms:modified>
  <dc:language>en-US</dc:language>
</cp:coreProperties>
</file>
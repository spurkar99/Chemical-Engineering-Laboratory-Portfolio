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 PURKAR\Downloads\"/>
    </mc:Choice>
  </mc:AlternateContent>
  <xr:revisionPtr revIDLastSave="0" documentId="13_ncr:9_{D03F61A3-55D3-417F-87FB-46165E93B91A}" xr6:coauthVersionLast="47" xr6:coauthVersionMax="47" xr10:uidLastSave="{00000000-0000-0000-0000-000000000000}"/>
  <bookViews>
    <workbookView xWindow="-110" yWindow="-110" windowWidth="19420" windowHeight="11500" xr2:uid="{FD345B6F-FE8C-4438-8A4D-438E143EDA7A}"/>
  </bookViews>
  <sheets>
    <sheet name="24110333_Exp8" sheetId="1" r:id="rId1"/>
  </sheets>
  <calcPr calcId="0"/>
</workbook>
</file>

<file path=xl/calcChain.xml><?xml version="1.0" encoding="utf-8"?>
<calcChain xmlns="http://schemas.openxmlformats.org/spreadsheetml/2006/main">
  <c r="K2" i="1" l="1"/>
  <c r="J2" i="1"/>
  <c r="I2" i="1"/>
  <c r="H2" i="1"/>
  <c r="K3" i="1"/>
  <c r="K4" i="1"/>
  <c r="J3" i="1"/>
  <c r="J4" i="1"/>
  <c r="I3" i="1"/>
  <c r="I4" i="1"/>
  <c r="H3" i="1"/>
  <c r="H4" i="1"/>
</calcChain>
</file>

<file path=xl/sharedStrings.xml><?xml version="1.0" encoding="utf-8"?>
<sst xmlns="http://schemas.openxmlformats.org/spreadsheetml/2006/main" count="11" uniqueCount="11">
  <si>
    <t>Tci</t>
  </si>
  <si>
    <t>Tco</t>
  </si>
  <si>
    <t>Thi</t>
  </si>
  <si>
    <t>Th0(deg C)</t>
  </si>
  <si>
    <t>Mh(lph)</t>
  </si>
  <si>
    <t>Mc(lph)</t>
  </si>
  <si>
    <t>t (mins)</t>
  </si>
  <si>
    <t>Qh</t>
  </si>
  <si>
    <t>Qc</t>
  </si>
  <si>
    <t>LMTD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</si>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</sst>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9A7E-0A7C-4B4C-8279-FA9FF017361A}">
  <dimension ref="A1:K4"/>
  <sheetViews>
    <sheetView tabSelected="1" workbookViewId="0">
      <selection activeCell="I13" sqref="I13"/>
    </sheetView>
  </sheetViews>
  <sheetFormatPr defaultRowHeight="14.5" x14ac:dyDescent="0.35"/>
  <cols>
    <col min="1" max="16384" width="8.7265625" style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28.3</v>
      </c>
      <c r="B2" s="1">
        <v>35</v>
      </c>
      <c r="C2" s="1">
        <v>43.6</v>
      </c>
      <c r="D2" s="1">
        <v>35.4</v>
      </c>
      <c r="E2" s="1">
        <v>195</v>
      </c>
      <c r="F2" s="1">
        <v>222</v>
      </c>
      <c r="G2" s="1">
        <v>0</v>
      </c>
      <c r="H2">
        <f>(E2/3600)*4184*(C2-D2)</f>
        <v>1858.3933333333341</v>
      </c>
      <c r="I2">
        <f>(F2/3600)*4184*(B2-A2)</f>
        <v>1728.689333333333</v>
      </c>
      <c r="J2">
        <f>((C2-B2)-(D2-A2))/LN((C2-B2)/(D2-A2))</f>
        <v>7.8260562288855704</v>
      </c>
      <c r="K2">
        <f>H2/(0.6704*J2)</f>
        <v>354.20987876008718</v>
      </c>
    </row>
    <row r="3" spans="1:11" x14ac:dyDescent="0.35">
      <c r="A3" s="1">
        <v>31.4</v>
      </c>
      <c r="B3" s="1">
        <v>37</v>
      </c>
      <c r="C3" s="1">
        <v>39.5</v>
      </c>
      <c r="D3" s="1">
        <v>35.1</v>
      </c>
      <c r="E3" s="1">
        <v>346</v>
      </c>
      <c r="F3" s="1">
        <v>326</v>
      </c>
      <c r="G3" s="1">
        <v>10</v>
      </c>
      <c r="H3">
        <f t="shared" ref="H3:H4" si="0">(E3/3600)*4184*(C3-D3)</f>
        <v>1769.3671111111105</v>
      </c>
      <c r="I3">
        <f t="shared" ref="I3:I4" si="1">(F3/3600)*4184*(B3-A3)</f>
        <v>2121.7528888888896</v>
      </c>
      <c r="J3">
        <f t="shared" ref="J3:J4" si="2">((C3-B3)-(D3-A3))/LN((C3-B3)/(D3-A3))</f>
        <v>3.0608958512780093</v>
      </c>
      <c r="K3">
        <f t="shared" ref="K3:K4" si="3">H3/(0.6704*J3)</f>
        <v>862.2543460151046</v>
      </c>
    </row>
    <row r="4" spans="1:11" x14ac:dyDescent="0.35">
      <c r="A4" s="1">
        <v>32.5</v>
      </c>
      <c r="B4" s="1">
        <v>38</v>
      </c>
      <c r="C4" s="1">
        <v>37.200000000000003</v>
      </c>
      <c r="D4" s="1">
        <v>33.5</v>
      </c>
      <c r="E4" s="1">
        <v>594</v>
      </c>
      <c r="F4" s="1">
        <v>614</v>
      </c>
      <c r="G4" s="1">
        <v>10</v>
      </c>
      <c r="H4">
        <f t="shared" si="0"/>
        <v>2554.3320000000022</v>
      </c>
      <c r="I4">
        <f t="shared" si="1"/>
        <v>3924.8244444444445</v>
      </c>
      <c r="J4" t="e">
        <f t="shared" si="2"/>
        <v>#NUM!</v>
      </c>
      <c r="K4" t="e">
        <f t="shared" si="3"/>
        <v>#NUM!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24110333_Exp8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Purkar</cp:lastModifiedBy>
  <dcterms:created xsi:type="dcterms:W3CDTF">2026-08-18T21:10:27Z</dcterms:created>
  <dcterms:modified xsi:type="dcterms:W3CDTF">2026-08-18T21:48:42Z</dcterms:modified>
</cp:coreProperties>
</file>